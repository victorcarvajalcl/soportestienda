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umac.cl/Downloads/"/>
    </mc:Choice>
  </mc:AlternateContent>
  <xr:revisionPtr revIDLastSave="0" documentId="13_ncr:1_{4BB17621-E67C-4B4E-B821-7AADEEE905E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irectorio Tiendas Tric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2" i="1"/>
  <c r="E64" i="1"/>
</calcChain>
</file>

<file path=xl/sharedStrings.xml><?xml version="1.0" encoding="utf-8"?>
<sst xmlns="http://schemas.openxmlformats.org/spreadsheetml/2006/main" count="441" uniqueCount="178">
  <si>
    <t>Región</t>
  </si>
  <si>
    <t>Local / Nombre</t>
  </si>
  <si>
    <t>Dirección</t>
  </si>
  <si>
    <t>Ciudad / Comuna</t>
  </si>
  <si>
    <t>Arica y Parinacota</t>
  </si>
  <si>
    <t>Tricot Arica</t>
  </si>
  <si>
    <t>21 de Mayo 364</t>
  </si>
  <si>
    <t>Arica</t>
  </si>
  <si>
    <t>Tarapacá</t>
  </si>
  <si>
    <t>Tricot Iquique</t>
  </si>
  <si>
    <t>Vivar 636</t>
  </si>
  <si>
    <t>Iquique</t>
  </si>
  <si>
    <t>Antofagasta</t>
  </si>
  <si>
    <t>Tricot Antofagasta</t>
  </si>
  <si>
    <t>Arturo Prat 501</t>
  </si>
  <si>
    <t>Tricot Antofagasta 2</t>
  </si>
  <si>
    <t>Arturo Prat 533</t>
  </si>
  <si>
    <t>Tricot Mall Antofagasta</t>
  </si>
  <si>
    <t>Av. Einstein 287, Local 150 y 250</t>
  </si>
  <si>
    <t>Atacama</t>
  </si>
  <si>
    <t>Tricot Copiapó</t>
  </si>
  <si>
    <t>Los Carreras 501</t>
  </si>
  <si>
    <t>Copiapó</t>
  </si>
  <si>
    <t>Coquimbo</t>
  </si>
  <si>
    <t>Tricot La Serena</t>
  </si>
  <si>
    <t>Cordovez 618</t>
  </si>
  <si>
    <t>La Serena</t>
  </si>
  <si>
    <t>Tricot Connect La Serena</t>
  </si>
  <si>
    <t>Cordovez 622</t>
  </si>
  <si>
    <t>Tricot Mall La Serena</t>
  </si>
  <si>
    <t>Av. Balmaceda 2885, Lc 193</t>
  </si>
  <si>
    <t>Tricot Coquimbo</t>
  </si>
  <si>
    <t>Aldunate 1139</t>
  </si>
  <si>
    <t>Tricot Ovalle</t>
  </si>
  <si>
    <t>Coquimbo 354 D</t>
  </si>
  <si>
    <t>Ovalle</t>
  </si>
  <si>
    <t>Valparaíso</t>
  </si>
  <si>
    <t>Tricot San Felipe</t>
  </si>
  <si>
    <t>Arturo Prat 93</t>
  </si>
  <si>
    <t>San Felipe</t>
  </si>
  <si>
    <t>Tricot Connect San Felipe</t>
  </si>
  <si>
    <t>Portus 266</t>
  </si>
  <si>
    <t>Tricot Los Andes</t>
  </si>
  <si>
    <t>Esmeralda 231</t>
  </si>
  <si>
    <t>Los Andes</t>
  </si>
  <si>
    <t>Tricot Connect Los Andes</t>
  </si>
  <si>
    <t>O'Higgins 270-C</t>
  </si>
  <si>
    <t>Tricot La Ligua</t>
  </si>
  <si>
    <t>Ortiz de Rosas 612, Local 2</t>
  </si>
  <si>
    <t>La Ligua</t>
  </si>
  <si>
    <t>Tricot Quillota</t>
  </si>
  <si>
    <t>Prat 125</t>
  </si>
  <si>
    <t>Quillota</t>
  </si>
  <si>
    <t>Tricot La Calera</t>
  </si>
  <si>
    <t>Aldunate 250</t>
  </si>
  <si>
    <t>La Calera</t>
  </si>
  <si>
    <t>Tricot Quilpué</t>
  </si>
  <si>
    <t>Diego Portales 822</t>
  </si>
  <si>
    <t>Quilpué</t>
  </si>
  <si>
    <t>Tricot Villa Alemana</t>
  </si>
  <si>
    <t>Av. Valparaíso 625</t>
  </si>
  <si>
    <t>Villa Alemana</t>
  </si>
  <si>
    <t>Tricot Connect Villa Alemana</t>
  </si>
  <si>
    <t>Av. Valparaíso 633</t>
  </si>
  <si>
    <t>Tricot Valparaíso</t>
  </si>
  <si>
    <t>Condell 1435</t>
  </si>
  <si>
    <t>Tricot Connect Valparaíso</t>
  </si>
  <si>
    <t>Esmeralda 1154, Local 4</t>
  </si>
  <si>
    <t>Tricot Viña del Mar</t>
  </si>
  <si>
    <t>Valparaíso 360</t>
  </si>
  <si>
    <t>Viña del Mar</t>
  </si>
  <si>
    <t>Tricot Mall Viña del Mar</t>
  </si>
  <si>
    <t>Av. Valparaíso 1070</t>
  </si>
  <si>
    <t>Tricot Outlet Viña del Mar</t>
  </si>
  <si>
    <t>Camino Internacional 2440</t>
  </si>
  <si>
    <t>Tricot Viña 15 Norte</t>
  </si>
  <si>
    <t>Av. Libertad 1348</t>
  </si>
  <si>
    <t>Región Metropolitana</t>
  </si>
  <si>
    <t>Tricot Ahumada</t>
  </si>
  <si>
    <t>Ahumada 346, Local 7-8</t>
  </si>
  <si>
    <t>Santiago</t>
  </si>
  <si>
    <t>Tricot Puente</t>
  </si>
  <si>
    <t>Puente 633</t>
  </si>
  <si>
    <t>Tricot Patronato</t>
  </si>
  <si>
    <t>Patronato 318</t>
  </si>
  <si>
    <t>Tricot Concha y Toro</t>
  </si>
  <si>
    <t>Concha y Toro 110</t>
  </si>
  <si>
    <t>Tricot Irarrázaval</t>
  </si>
  <si>
    <t>Irarrázaval 2401, Local 11</t>
  </si>
  <si>
    <t>Ñuñoa</t>
  </si>
  <si>
    <t>Tricot Gran Avenida</t>
  </si>
  <si>
    <t>Gran Avda. José Miguel Carrera 6150</t>
  </si>
  <si>
    <t>San Miguel</t>
  </si>
  <si>
    <t>Tricot Apumanque</t>
  </si>
  <si>
    <t>Manquehue Sur 31, Local 149</t>
  </si>
  <si>
    <t>Las Condes</t>
  </si>
  <si>
    <t>Tricot Apumanque Anexo</t>
  </si>
  <si>
    <t>Av. Manquehue Sur 31, Local 113</t>
  </si>
  <si>
    <t>Tricot Los Dominicos</t>
  </si>
  <si>
    <t>Padre Hurtado Sur 875, Lc 112</t>
  </si>
  <si>
    <t>Tricot Maipú</t>
  </si>
  <si>
    <t>Av. Pajaritos 1948, Local 1</t>
  </si>
  <si>
    <t>Maipú</t>
  </si>
  <si>
    <t>Tricot Mall Plaza Oeste</t>
  </si>
  <si>
    <t>Av. Pajaritos 1948</t>
  </si>
  <si>
    <t>Tricot San Bernardo</t>
  </si>
  <si>
    <t>Eyzaguirre 609</t>
  </si>
  <si>
    <t>San Bernardo</t>
  </si>
  <si>
    <t>Tricot Puente Alto</t>
  </si>
  <si>
    <t>Calle 21 de Mayo 4430</t>
  </si>
  <si>
    <t>Puente Alto</t>
  </si>
  <si>
    <t>O'Higgins</t>
  </si>
  <si>
    <t>Tricot Rancagua</t>
  </si>
  <si>
    <t>Vicuña Mackenna 98</t>
  </si>
  <si>
    <t>Rancagua</t>
  </si>
  <si>
    <t>Tricot Rancagua 2</t>
  </si>
  <si>
    <t>Vicuña Mackenna 40</t>
  </si>
  <si>
    <t>Tricot San Fernando</t>
  </si>
  <si>
    <t>O'Higgins 646</t>
  </si>
  <si>
    <t>San Fernando</t>
  </si>
  <si>
    <t>Tricot Connect San Fernando</t>
  </si>
  <si>
    <t>Av. O'Higgins 720</t>
  </si>
  <si>
    <t>Tricot Rengo</t>
  </si>
  <si>
    <t>Prat 220</t>
  </si>
  <si>
    <t>Rengo</t>
  </si>
  <si>
    <t>Tricot Connect Rengo</t>
  </si>
  <si>
    <t>Prat 211</t>
  </si>
  <si>
    <t>Maule</t>
  </si>
  <si>
    <t>Tricot San Javier</t>
  </si>
  <si>
    <t>Arturo Prat 2370</t>
  </si>
  <si>
    <t>San Javier</t>
  </si>
  <si>
    <t>Tricot San Carlos</t>
  </si>
  <si>
    <t>Av. Independencia 699</t>
  </si>
  <si>
    <t>San Carlos</t>
  </si>
  <si>
    <t>Tricot Connect San Carlos</t>
  </si>
  <si>
    <t>Serrano 436</t>
  </si>
  <si>
    <t>Tricot Talca</t>
  </si>
  <si>
    <t>Serrano 395</t>
  </si>
  <si>
    <t>Talca</t>
  </si>
  <si>
    <t>Tricot Talca 2</t>
  </si>
  <si>
    <t>Av. Lautaro 421</t>
  </si>
  <si>
    <t>Bío Bío</t>
  </si>
  <si>
    <t>Tricot Concepción</t>
  </si>
  <si>
    <t>Barros Arana 586</t>
  </si>
  <si>
    <t>Concepción</t>
  </si>
  <si>
    <t>Tricot Concepción 2</t>
  </si>
  <si>
    <t>Av. Bulnes 498</t>
  </si>
  <si>
    <t>Tricot Las Quirlas</t>
  </si>
  <si>
    <t>Las Quirlas 1605</t>
  </si>
  <si>
    <t>Tricot Chillán</t>
  </si>
  <si>
    <t>Manuel Montt 628</t>
  </si>
  <si>
    <t>Chillán</t>
  </si>
  <si>
    <t>Tricot Los Ángeles</t>
  </si>
  <si>
    <t>Balmaceda 86</t>
  </si>
  <si>
    <t>Los Ángeles</t>
  </si>
  <si>
    <t>Tricot Los Ángeles 2</t>
  </si>
  <si>
    <t>Balmaceda 110</t>
  </si>
  <si>
    <t>Araucanía</t>
  </si>
  <si>
    <t>Tricot Temuco</t>
  </si>
  <si>
    <t>Manuel Rodríguez 1055</t>
  </si>
  <si>
    <t>Temuco</t>
  </si>
  <si>
    <t>Tricot Villarrica</t>
  </si>
  <si>
    <t>Pedro de Valdivia 845</t>
  </si>
  <si>
    <t>Villarrica</t>
  </si>
  <si>
    <t>Los Ríos</t>
  </si>
  <si>
    <t>Tricot Valdivia</t>
  </si>
  <si>
    <t>Independencia 539</t>
  </si>
  <si>
    <t>Valdivia</t>
  </si>
  <si>
    <t>Los Lagos</t>
  </si>
  <si>
    <t>Tricot Puerto Montt</t>
  </si>
  <si>
    <t>Benavente 1075, Local 1510</t>
  </si>
  <si>
    <t>Puerto Montt</t>
  </si>
  <si>
    <t>Tricot Puerto Montt 2</t>
  </si>
  <si>
    <t>Total de tiendas listadas:</t>
  </si>
  <si>
    <t>pais</t>
  </si>
  <si>
    <t>,</t>
  </si>
  <si>
    <t>Chile</t>
  </si>
  <si>
    <t>Direccionok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</si>
</sst>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0392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FFFFF"/>
      </patternFill>
    </fill>
    <fill>
      <patternFill patternType="solid">
        <fgColor rgb="FFFDECEA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5" borderId="0" xfId="0" applyFont="1" applyFill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28" customWidth="1"/>
    <col min="2" max="2" width="35" customWidth="1"/>
    <col min="3" max="3" width="40" customWidth="1"/>
    <col min="4" max="4" width="8" customWidth="1"/>
    <col min="5" max="5" width="22" customWidth="1"/>
    <col min="6" max="6" width="7.83203125" customWidth="1"/>
    <col min="8" max="8" width="42.33203125" bestFit="1" customWidth="1"/>
  </cols>
  <sheetData>
    <row r="1" spans="1:8" ht="22" customHeight="1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5"/>
      <c r="G1" s="5" t="s">
        <v>174</v>
      </c>
      <c r="H1" s="5" t="s">
        <v>177</v>
      </c>
    </row>
    <row r="2" spans="1:8" ht="18" customHeight="1" x14ac:dyDescent="0.2">
      <c r="A2" s="2" t="s">
        <v>4</v>
      </c>
      <c r="B2" s="2" t="s">
        <v>5</v>
      </c>
      <c r="C2" s="2" t="s">
        <v>6</v>
      </c>
      <c r="D2" s="2" t="s">
        <v>175</v>
      </c>
      <c r="E2" s="2" t="s">
        <v>7</v>
      </c>
      <c r="F2" s="6" t="s">
        <v>175</v>
      </c>
      <c r="G2" t="s">
        <v>176</v>
      </c>
      <c r="H2" t="str">
        <f>CONCATENATE(C2,D2,E2,F2,G2)</f>
        <v>21 de Mayo 364,Arica,Chile</v>
      </c>
    </row>
    <row r="3" spans="1:8" ht="18" customHeight="1" x14ac:dyDescent="0.2">
      <c r="A3" s="3" t="s">
        <v>8</v>
      </c>
      <c r="B3" s="3" t="s">
        <v>9</v>
      </c>
      <c r="C3" s="3" t="s">
        <v>10</v>
      </c>
      <c r="D3" s="2" t="s">
        <v>175</v>
      </c>
      <c r="E3" s="3" t="s">
        <v>11</v>
      </c>
      <c r="F3" s="6" t="s">
        <v>175</v>
      </c>
      <c r="G3" t="s">
        <v>176</v>
      </c>
      <c r="H3" t="str">
        <f t="shared" ref="H3:H63" si="0">CONCATENATE(C3,D3,E3,F3,G3)</f>
        <v>Vivar 636,Iquique,Chile</v>
      </c>
    </row>
    <row r="4" spans="1:8" ht="18" customHeight="1" x14ac:dyDescent="0.2">
      <c r="A4" s="2" t="s">
        <v>12</v>
      </c>
      <c r="B4" s="2" t="s">
        <v>13</v>
      </c>
      <c r="C4" s="2" t="s">
        <v>14</v>
      </c>
      <c r="D4" s="2" t="s">
        <v>175</v>
      </c>
      <c r="E4" s="2" t="s">
        <v>12</v>
      </c>
      <c r="F4" s="6" t="s">
        <v>175</v>
      </c>
      <c r="G4" t="s">
        <v>176</v>
      </c>
      <c r="H4" t="str">
        <f t="shared" si="0"/>
        <v>Arturo Prat 501,Antofagasta,Chile</v>
      </c>
    </row>
    <row r="5" spans="1:8" ht="18" customHeight="1" x14ac:dyDescent="0.2">
      <c r="A5" s="3" t="s">
        <v>12</v>
      </c>
      <c r="B5" s="3" t="s">
        <v>15</v>
      </c>
      <c r="C5" s="3" t="s">
        <v>16</v>
      </c>
      <c r="D5" s="2" t="s">
        <v>175</v>
      </c>
      <c r="E5" s="3" t="s">
        <v>12</v>
      </c>
      <c r="F5" s="6" t="s">
        <v>175</v>
      </c>
      <c r="G5" t="s">
        <v>176</v>
      </c>
      <c r="H5" t="str">
        <f t="shared" si="0"/>
        <v>Arturo Prat 533,Antofagasta,Chile</v>
      </c>
    </row>
    <row r="6" spans="1:8" ht="18" customHeight="1" x14ac:dyDescent="0.2">
      <c r="A6" s="2" t="s">
        <v>12</v>
      </c>
      <c r="B6" s="2" t="s">
        <v>17</v>
      </c>
      <c r="C6" s="2" t="s">
        <v>18</v>
      </c>
      <c r="D6" s="2" t="s">
        <v>175</v>
      </c>
      <c r="E6" s="2" t="s">
        <v>12</v>
      </c>
      <c r="F6" s="6" t="s">
        <v>175</v>
      </c>
      <c r="G6" t="s">
        <v>176</v>
      </c>
      <c r="H6" t="str">
        <f t="shared" si="0"/>
        <v>Av. Einstein 287, Local 150 y 250,Antofagasta,Chile</v>
      </c>
    </row>
    <row r="7" spans="1:8" ht="18" customHeight="1" x14ac:dyDescent="0.2">
      <c r="A7" s="3" t="s">
        <v>19</v>
      </c>
      <c r="B7" s="3" t="s">
        <v>20</v>
      </c>
      <c r="C7" s="3" t="s">
        <v>21</v>
      </c>
      <c r="D7" s="2" t="s">
        <v>175</v>
      </c>
      <c r="E7" s="3" t="s">
        <v>22</v>
      </c>
      <c r="F7" s="6" t="s">
        <v>175</v>
      </c>
      <c r="G7" t="s">
        <v>176</v>
      </c>
      <c r="H7" t="str">
        <f t="shared" si="0"/>
        <v>Los Carreras 501,Copiapó,Chile</v>
      </c>
    </row>
    <row r="8" spans="1:8" ht="18" customHeight="1" x14ac:dyDescent="0.2">
      <c r="A8" s="2" t="s">
        <v>23</v>
      </c>
      <c r="B8" s="2" t="s">
        <v>24</v>
      </c>
      <c r="C8" s="2" t="s">
        <v>25</v>
      </c>
      <c r="D8" s="2" t="s">
        <v>175</v>
      </c>
      <c r="E8" s="2" t="s">
        <v>26</v>
      </c>
      <c r="F8" s="6" t="s">
        <v>175</v>
      </c>
      <c r="G8" t="s">
        <v>176</v>
      </c>
      <c r="H8" t="str">
        <f t="shared" si="0"/>
        <v>Cordovez 618,La Serena,Chile</v>
      </c>
    </row>
    <row r="9" spans="1:8" ht="18" customHeight="1" x14ac:dyDescent="0.2">
      <c r="A9" s="3" t="s">
        <v>23</v>
      </c>
      <c r="B9" s="3" t="s">
        <v>27</v>
      </c>
      <c r="C9" s="3" t="s">
        <v>28</v>
      </c>
      <c r="D9" s="2" t="s">
        <v>175</v>
      </c>
      <c r="E9" s="3" t="s">
        <v>26</v>
      </c>
      <c r="F9" s="6" t="s">
        <v>175</v>
      </c>
      <c r="G9" t="s">
        <v>176</v>
      </c>
      <c r="H9" t="str">
        <f t="shared" si="0"/>
        <v>Cordovez 622,La Serena,Chile</v>
      </c>
    </row>
    <row r="10" spans="1:8" ht="18" customHeight="1" x14ac:dyDescent="0.2">
      <c r="A10" s="2" t="s">
        <v>23</v>
      </c>
      <c r="B10" s="2" t="s">
        <v>29</v>
      </c>
      <c r="C10" s="2" t="s">
        <v>30</v>
      </c>
      <c r="D10" s="2" t="s">
        <v>175</v>
      </c>
      <c r="E10" s="2" t="s">
        <v>26</v>
      </c>
      <c r="F10" s="6" t="s">
        <v>175</v>
      </c>
      <c r="G10" t="s">
        <v>176</v>
      </c>
      <c r="H10" t="str">
        <f t="shared" si="0"/>
        <v>Av. Balmaceda 2885, Lc 193,La Serena,Chile</v>
      </c>
    </row>
    <row r="11" spans="1:8" ht="18" customHeight="1" x14ac:dyDescent="0.2">
      <c r="A11" s="3" t="s">
        <v>23</v>
      </c>
      <c r="B11" s="3" t="s">
        <v>31</v>
      </c>
      <c r="C11" s="3" t="s">
        <v>32</v>
      </c>
      <c r="D11" s="2" t="s">
        <v>175</v>
      </c>
      <c r="E11" s="3" t="s">
        <v>23</v>
      </c>
      <c r="F11" s="6" t="s">
        <v>175</v>
      </c>
      <c r="G11" t="s">
        <v>176</v>
      </c>
      <c r="H11" t="str">
        <f t="shared" si="0"/>
        <v>Aldunate 1139,Coquimbo,Chile</v>
      </c>
    </row>
    <row r="12" spans="1:8" ht="18" customHeight="1" x14ac:dyDescent="0.2">
      <c r="A12" s="2" t="s">
        <v>23</v>
      </c>
      <c r="B12" s="2" t="s">
        <v>33</v>
      </c>
      <c r="C12" s="2" t="s">
        <v>34</v>
      </c>
      <c r="D12" s="2" t="s">
        <v>175</v>
      </c>
      <c r="E12" s="2" t="s">
        <v>35</v>
      </c>
      <c r="F12" s="6" t="s">
        <v>175</v>
      </c>
      <c r="G12" t="s">
        <v>176</v>
      </c>
      <c r="H12" t="str">
        <f t="shared" si="0"/>
        <v>Coquimbo 354 D,Ovalle,Chile</v>
      </c>
    </row>
    <row r="13" spans="1:8" ht="18" customHeight="1" x14ac:dyDescent="0.2">
      <c r="A13" s="3" t="s">
        <v>36</v>
      </c>
      <c r="B13" s="3" t="s">
        <v>37</v>
      </c>
      <c r="C13" s="3" t="s">
        <v>38</v>
      </c>
      <c r="D13" s="2" t="s">
        <v>175</v>
      </c>
      <c r="E13" s="3" t="s">
        <v>39</v>
      </c>
      <c r="F13" s="6" t="s">
        <v>175</v>
      </c>
      <c r="G13" t="s">
        <v>176</v>
      </c>
      <c r="H13" t="str">
        <f t="shared" si="0"/>
        <v>Arturo Prat 93,San Felipe,Chile</v>
      </c>
    </row>
    <row r="14" spans="1:8" ht="18" customHeight="1" x14ac:dyDescent="0.2">
      <c r="A14" s="2" t="s">
        <v>36</v>
      </c>
      <c r="B14" s="2" t="s">
        <v>40</v>
      </c>
      <c r="C14" s="2" t="s">
        <v>41</v>
      </c>
      <c r="D14" s="2" t="s">
        <v>175</v>
      </c>
      <c r="E14" s="2" t="s">
        <v>39</v>
      </c>
      <c r="F14" s="6" t="s">
        <v>175</v>
      </c>
      <c r="G14" t="s">
        <v>176</v>
      </c>
      <c r="H14" t="str">
        <f t="shared" si="0"/>
        <v>Portus 266,San Felipe,Chile</v>
      </c>
    </row>
    <row r="15" spans="1:8" ht="18" customHeight="1" x14ac:dyDescent="0.2">
      <c r="A15" s="3" t="s">
        <v>36</v>
      </c>
      <c r="B15" s="3" t="s">
        <v>42</v>
      </c>
      <c r="C15" s="3" t="s">
        <v>43</v>
      </c>
      <c r="D15" s="2" t="s">
        <v>175</v>
      </c>
      <c r="E15" s="3" t="s">
        <v>44</v>
      </c>
      <c r="F15" s="6" t="s">
        <v>175</v>
      </c>
      <c r="G15" t="s">
        <v>176</v>
      </c>
      <c r="H15" t="str">
        <f t="shared" si="0"/>
        <v>Esmeralda 231,Los Andes,Chile</v>
      </c>
    </row>
    <row r="16" spans="1:8" ht="18" customHeight="1" x14ac:dyDescent="0.2">
      <c r="A16" s="2" t="s">
        <v>36</v>
      </c>
      <c r="B16" s="2" t="s">
        <v>45</v>
      </c>
      <c r="C16" s="2" t="s">
        <v>46</v>
      </c>
      <c r="D16" s="2" t="s">
        <v>175</v>
      </c>
      <c r="E16" s="2" t="s">
        <v>44</v>
      </c>
      <c r="F16" s="6" t="s">
        <v>175</v>
      </c>
      <c r="G16" t="s">
        <v>176</v>
      </c>
      <c r="H16" t="str">
        <f t="shared" si="0"/>
        <v>O'Higgins 270-C,Los Andes,Chile</v>
      </c>
    </row>
    <row r="17" spans="1:8" ht="18" customHeight="1" x14ac:dyDescent="0.2">
      <c r="A17" s="3" t="s">
        <v>36</v>
      </c>
      <c r="B17" s="3" t="s">
        <v>47</v>
      </c>
      <c r="C17" s="3" t="s">
        <v>48</v>
      </c>
      <c r="D17" s="2" t="s">
        <v>175</v>
      </c>
      <c r="E17" s="3" t="s">
        <v>49</v>
      </c>
      <c r="F17" s="6" t="s">
        <v>175</v>
      </c>
      <c r="G17" t="s">
        <v>176</v>
      </c>
      <c r="H17" t="str">
        <f t="shared" si="0"/>
        <v>Ortiz de Rosas 612, Local 2,La Ligua,Chile</v>
      </c>
    </row>
    <row r="18" spans="1:8" ht="18" customHeight="1" x14ac:dyDescent="0.2">
      <c r="A18" s="2" t="s">
        <v>36</v>
      </c>
      <c r="B18" s="2" t="s">
        <v>50</v>
      </c>
      <c r="C18" s="2" t="s">
        <v>51</v>
      </c>
      <c r="D18" s="2" t="s">
        <v>175</v>
      </c>
      <c r="E18" s="2" t="s">
        <v>52</v>
      </c>
      <c r="F18" s="6" t="s">
        <v>175</v>
      </c>
      <c r="G18" t="s">
        <v>176</v>
      </c>
      <c r="H18" t="str">
        <f t="shared" si="0"/>
        <v>Prat 125,Quillota,Chile</v>
      </c>
    </row>
    <row r="19" spans="1:8" ht="18" customHeight="1" x14ac:dyDescent="0.2">
      <c r="A19" s="3" t="s">
        <v>36</v>
      </c>
      <c r="B19" s="3" t="s">
        <v>53</v>
      </c>
      <c r="C19" s="3" t="s">
        <v>54</v>
      </c>
      <c r="D19" s="2" t="s">
        <v>175</v>
      </c>
      <c r="E19" s="3" t="s">
        <v>55</v>
      </c>
      <c r="F19" s="6" t="s">
        <v>175</v>
      </c>
      <c r="G19" t="s">
        <v>176</v>
      </c>
      <c r="H19" t="str">
        <f t="shared" si="0"/>
        <v>Aldunate 250,La Calera,Chile</v>
      </c>
    </row>
    <row r="20" spans="1:8" ht="18" customHeight="1" x14ac:dyDescent="0.2">
      <c r="A20" s="2" t="s">
        <v>36</v>
      </c>
      <c r="B20" s="2" t="s">
        <v>56</v>
      </c>
      <c r="C20" s="2" t="s">
        <v>57</v>
      </c>
      <c r="D20" s="2" t="s">
        <v>175</v>
      </c>
      <c r="E20" s="2" t="s">
        <v>58</v>
      </c>
      <c r="F20" s="6" t="s">
        <v>175</v>
      </c>
      <c r="G20" t="s">
        <v>176</v>
      </c>
      <c r="H20" t="str">
        <f t="shared" si="0"/>
        <v>Diego Portales 822,Quilpué,Chile</v>
      </c>
    </row>
    <row r="21" spans="1:8" ht="18" customHeight="1" x14ac:dyDescent="0.2">
      <c r="A21" s="3" t="s">
        <v>36</v>
      </c>
      <c r="B21" s="3" t="s">
        <v>59</v>
      </c>
      <c r="C21" s="3" t="s">
        <v>60</v>
      </c>
      <c r="D21" s="2" t="s">
        <v>175</v>
      </c>
      <c r="E21" s="3" t="s">
        <v>61</v>
      </c>
      <c r="F21" s="6" t="s">
        <v>175</v>
      </c>
      <c r="G21" t="s">
        <v>176</v>
      </c>
      <c r="H21" t="str">
        <f t="shared" si="0"/>
        <v>Av. Valparaíso 625,Villa Alemana,Chile</v>
      </c>
    </row>
    <row r="22" spans="1:8" ht="18" customHeight="1" x14ac:dyDescent="0.2">
      <c r="A22" s="2" t="s">
        <v>36</v>
      </c>
      <c r="B22" s="2" t="s">
        <v>62</v>
      </c>
      <c r="C22" s="2" t="s">
        <v>63</v>
      </c>
      <c r="D22" s="2" t="s">
        <v>175</v>
      </c>
      <c r="E22" s="2" t="s">
        <v>61</v>
      </c>
      <c r="F22" s="6" t="s">
        <v>175</v>
      </c>
      <c r="G22" t="s">
        <v>176</v>
      </c>
      <c r="H22" t="str">
        <f t="shared" si="0"/>
        <v>Av. Valparaíso 633,Villa Alemana,Chile</v>
      </c>
    </row>
    <row r="23" spans="1:8" ht="18" customHeight="1" x14ac:dyDescent="0.2">
      <c r="A23" s="3" t="s">
        <v>36</v>
      </c>
      <c r="B23" s="3" t="s">
        <v>64</v>
      </c>
      <c r="C23" s="3" t="s">
        <v>65</v>
      </c>
      <c r="D23" s="2" t="s">
        <v>175</v>
      </c>
      <c r="E23" s="3" t="s">
        <v>36</v>
      </c>
      <c r="F23" s="6" t="s">
        <v>175</v>
      </c>
      <c r="G23" t="s">
        <v>176</v>
      </c>
      <c r="H23" t="str">
        <f t="shared" si="0"/>
        <v>Condell 1435,Valparaíso,Chile</v>
      </c>
    </row>
    <row r="24" spans="1:8" ht="18" customHeight="1" x14ac:dyDescent="0.2">
      <c r="A24" s="2" t="s">
        <v>36</v>
      </c>
      <c r="B24" s="2" t="s">
        <v>66</v>
      </c>
      <c r="C24" s="2" t="s">
        <v>67</v>
      </c>
      <c r="D24" s="2" t="s">
        <v>175</v>
      </c>
      <c r="E24" s="2" t="s">
        <v>36</v>
      </c>
      <c r="F24" s="6" t="s">
        <v>175</v>
      </c>
      <c r="G24" t="s">
        <v>176</v>
      </c>
      <c r="H24" t="str">
        <f t="shared" si="0"/>
        <v>Esmeralda 1154, Local 4,Valparaíso,Chile</v>
      </c>
    </row>
    <row r="25" spans="1:8" ht="18" customHeight="1" x14ac:dyDescent="0.2">
      <c r="A25" s="3" t="s">
        <v>36</v>
      </c>
      <c r="B25" s="3" t="s">
        <v>68</v>
      </c>
      <c r="C25" s="3" t="s">
        <v>69</v>
      </c>
      <c r="D25" s="2" t="s">
        <v>175</v>
      </c>
      <c r="E25" s="3" t="s">
        <v>70</v>
      </c>
      <c r="F25" s="6" t="s">
        <v>175</v>
      </c>
      <c r="G25" t="s">
        <v>176</v>
      </c>
      <c r="H25" t="str">
        <f t="shared" si="0"/>
        <v>Valparaíso 360,Viña del Mar,Chile</v>
      </c>
    </row>
    <row r="26" spans="1:8" ht="18" customHeight="1" x14ac:dyDescent="0.2">
      <c r="A26" s="2" t="s">
        <v>36</v>
      </c>
      <c r="B26" s="2" t="s">
        <v>71</v>
      </c>
      <c r="C26" s="2" t="s">
        <v>72</v>
      </c>
      <c r="D26" s="2" t="s">
        <v>175</v>
      </c>
      <c r="E26" s="2" t="s">
        <v>70</v>
      </c>
      <c r="F26" s="6" t="s">
        <v>175</v>
      </c>
      <c r="G26" t="s">
        <v>176</v>
      </c>
      <c r="H26" t="str">
        <f t="shared" si="0"/>
        <v>Av. Valparaíso 1070,Viña del Mar,Chile</v>
      </c>
    </row>
    <row r="27" spans="1:8" ht="18" customHeight="1" x14ac:dyDescent="0.2">
      <c r="A27" s="3" t="s">
        <v>36</v>
      </c>
      <c r="B27" s="3" t="s">
        <v>73</v>
      </c>
      <c r="C27" s="3" t="s">
        <v>74</v>
      </c>
      <c r="D27" s="2" t="s">
        <v>175</v>
      </c>
      <c r="E27" s="3" t="s">
        <v>70</v>
      </c>
      <c r="F27" s="6" t="s">
        <v>175</v>
      </c>
      <c r="G27" t="s">
        <v>176</v>
      </c>
      <c r="H27" t="str">
        <f t="shared" si="0"/>
        <v>Camino Internacional 2440,Viña del Mar,Chile</v>
      </c>
    </row>
    <row r="28" spans="1:8" ht="18" customHeight="1" x14ac:dyDescent="0.2">
      <c r="A28" s="2" t="s">
        <v>36</v>
      </c>
      <c r="B28" s="2" t="s">
        <v>75</v>
      </c>
      <c r="C28" s="2" t="s">
        <v>76</v>
      </c>
      <c r="D28" s="2" t="s">
        <v>175</v>
      </c>
      <c r="E28" s="2" t="s">
        <v>70</v>
      </c>
      <c r="F28" s="6" t="s">
        <v>175</v>
      </c>
      <c r="G28" t="s">
        <v>176</v>
      </c>
      <c r="H28" t="str">
        <f t="shared" si="0"/>
        <v>Av. Libertad 1348,Viña del Mar,Chile</v>
      </c>
    </row>
    <row r="29" spans="1:8" ht="18" customHeight="1" x14ac:dyDescent="0.2">
      <c r="A29" s="3" t="s">
        <v>77</v>
      </c>
      <c r="B29" s="3" t="s">
        <v>78</v>
      </c>
      <c r="C29" s="3" t="s">
        <v>79</v>
      </c>
      <c r="D29" s="2" t="s">
        <v>175</v>
      </c>
      <c r="E29" s="3" t="s">
        <v>80</v>
      </c>
      <c r="F29" s="6" t="s">
        <v>175</v>
      </c>
      <c r="G29" t="s">
        <v>176</v>
      </c>
      <c r="H29" t="str">
        <f t="shared" si="0"/>
        <v>Ahumada 346, Local 7-8,Santiago,Chile</v>
      </c>
    </row>
    <row r="30" spans="1:8" ht="18" customHeight="1" x14ac:dyDescent="0.2">
      <c r="A30" s="2" t="s">
        <v>77</v>
      </c>
      <c r="B30" s="2" t="s">
        <v>81</v>
      </c>
      <c r="C30" s="2" t="s">
        <v>82</v>
      </c>
      <c r="D30" s="2" t="s">
        <v>175</v>
      </c>
      <c r="E30" s="2" t="s">
        <v>80</v>
      </c>
      <c r="F30" s="6" t="s">
        <v>175</v>
      </c>
      <c r="G30" t="s">
        <v>176</v>
      </c>
      <c r="H30" t="str">
        <f t="shared" si="0"/>
        <v>Puente 633,Santiago,Chile</v>
      </c>
    </row>
    <row r="31" spans="1:8" ht="18" customHeight="1" x14ac:dyDescent="0.2">
      <c r="A31" s="3" t="s">
        <v>77</v>
      </c>
      <c r="B31" s="3" t="s">
        <v>83</v>
      </c>
      <c r="C31" s="3" t="s">
        <v>84</v>
      </c>
      <c r="D31" s="2" t="s">
        <v>175</v>
      </c>
      <c r="E31" s="3" t="s">
        <v>80</v>
      </c>
      <c r="F31" s="6" t="s">
        <v>175</v>
      </c>
      <c r="G31" t="s">
        <v>176</v>
      </c>
      <c r="H31" t="str">
        <f t="shared" si="0"/>
        <v>Patronato 318,Santiago,Chile</v>
      </c>
    </row>
    <row r="32" spans="1:8" ht="18" customHeight="1" x14ac:dyDescent="0.2">
      <c r="A32" s="2" t="s">
        <v>77</v>
      </c>
      <c r="B32" s="2" t="s">
        <v>85</v>
      </c>
      <c r="C32" s="2" t="s">
        <v>86</v>
      </c>
      <c r="D32" s="2" t="s">
        <v>175</v>
      </c>
      <c r="E32" s="2" t="s">
        <v>80</v>
      </c>
      <c r="F32" s="6" t="s">
        <v>175</v>
      </c>
      <c r="G32" t="s">
        <v>176</v>
      </c>
      <c r="H32" t="str">
        <f t="shared" si="0"/>
        <v>Concha y Toro 110,Santiago,Chile</v>
      </c>
    </row>
    <row r="33" spans="1:8" ht="18" customHeight="1" x14ac:dyDescent="0.2">
      <c r="A33" s="3" t="s">
        <v>77</v>
      </c>
      <c r="B33" s="3" t="s">
        <v>87</v>
      </c>
      <c r="C33" s="3" t="s">
        <v>88</v>
      </c>
      <c r="D33" s="2" t="s">
        <v>175</v>
      </c>
      <c r="E33" s="3" t="s">
        <v>89</v>
      </c>
      <c r="F33" s="6" t="s">
        <v>175</v>
      </c>
      <c r="G33" t="s">
        <v>176</v>
      </c>
      <c r="H33" t="str">
        <f t="shared" si="0"/>
        <v>Irarrázaval 2401, Local 11,Ñuñoa,Chile</v>
      </c>
    </row>
    <row r="34" spans="1:8" ht="18" customHeight="1" x14ac:dyDescent="0.2">
      <c r="A34" s="2" t="s">
        <v>77</v>
      </c>
      <c r="B34" s="2" t="s">
        <v>90</v>
      </c>
      <c r="C34" s="2" t="s">
        <v>91</v>
      </c>
      <c r="D34" s="2" t="s">
        <v>175</v>
      </c>
      <c r="E34" s="2" t="s">
        <v>92</v>
      </c>
      <c r="F34" s="6" t="s">
        <v>175</v>
      </c>
      <c r="G34" t="s">
        <v>176</v>
      </c>
      <c r="H34" t="str">
        <f t="shared" si="0"/>
        <v>Gran Avda. José Miguel Carrera 6150,San Miguel,Chile</v>
      </c>
    </row>
    <row r="35" spans="1:8" ht="18" customHeight="1" x14ac:dyDescent="0.2">
      <c r="A35" s="3" t="s">
        <v>77</v>
      </c>
      <c r="B35" s="3" t="s">
        <v>93</v>
      </c>
      <c r="C35" s="3" t="s">
        <v>94</v>
      </c>
      <c r="D35" s="2" t="s">
        <v>175</v>
      </c>
      <c r="E35" s="3" t="s">
        <v>95</v>
      </c>
      <c r="F35" s="6" t="s">
        <v>175</v>
      </c>
      <c r="G35" t="s">
        <v>176</v>
      </c>
      <c r="H35" t="str">
        <f t="shared" si="0"/>
        <v>Manquehue Sur 31, Local 149,Las Condes,Chile</v>
      </c>
    </row>
    <row r="36" spans="1:8" ht="18" customHeight="1" x14ac:dyDescent="0.2">
      <c r="A36" s="2" t="s">
        <v>77</v>
      </c>
      <c r="B36" s="2" t="s">
        <v>96</v>
      </c>
      <c r="C36" s="2" t="s">
        <v>97</v>
      </c>
      <c r="D36" s="2" t="s">
        <v>175</v>
      </c>
      <c r="E36" s="2" t="s">
        <v>95</v>
      </c>
      <c r="F36" s="6" t="s">
        <v>175</v>
      </c>
      <c r="G36" t="s">
        <v>176</v>
      </c>
      <c r="H36" t="str">
        <f t="shared" si="0"/>
        <v>Av. Manquehue Sur 31, Local 113,Las Condes,Chile</v>
      </c>
    </row>
    <row r="37" spans="1:8" ht="18" customHeight="1" x14ac:dyDescent="0.2">
      <c r="A37" s="3" t="s">
        <v>77</v>
      </c>
      <c r="B37" s="3" t="s">
        <v>98</v>
      </c>
      <c r="C37" s="3" t="s">
        <v>99</v>
      </c>
      <c r="D37" s="2" t="s">
        <v>175</v>
      </c>
      <c r="E37" s="3" t="s">
        <v>95</v>
      </c>
      <c r="F37" s="6" t="s">
        <v>175</v>
      </c>
      <c r="G37" t="s">
        <v>176</v>
      </c>
      <c r="H37" t="str">
        <f t="shared" si="0"/>
        <v>Padre Hurtado Sur 875, Lc 112,Las Condes,Chile</v>
      </c>
    </row>
    <row r="38" spans="1:8" ht="18" customHeight="1" x14ac:dyDescent="0.2">
      <c r="A38" s="2" t="s">
        <v>77</v>
      </c>
      <c r="B38" s="2" t="s">
        <v>100</v>
      </c>
      <c r="C38" s="2" t="s">
        <v>101</v>
      </c>
      <c r="D38" s="2" t="s">
        <v>175</v>
      </c>
      <c r="E38" s="2" t="s">
        <v>102</v>
      </c>
      <c r="F38" s="6" t="s">
        <v>175</v>
      </c>
      <c r="G38" t="s">
        <v>176</v>
      </c>
      <c r="H38" t="str">
        <f t="shared" si="0"/>
        <v>Av. Pajaritos 1948, Local 1,Maipú,Chile</v>
      </c>
    </row>
    <row r="39" spans="1:8" ht="18" customHeight="1" x14ac:dyDescent="0.2">
      <c r="A39" s="3" t="s">
        <v>77</v>
      </c>
      <c r="B39" s="3" t="s">
        <v>103</v>
      </c>
      <c r="C39" s="3" t="s">
        <v>104</v>
      </c>
      <c r="D39" s="2" t="s">
        <v>175</v>
      </c>
      <c r="E39" s="3" t="s">
        <v>102</v>
      </c>
      <c r="F39" s="6" t="s">
        <v>175</v>
      </c>
      <c r="G39" t="s">
        <v>176</v>
      </c>
      <c r="H39" t="str">
        <f t="shared" si="0"/>
        <v>Av. Pajaritos 1948,Maipú,Chile</v>
      </c>
    </row>
    <row r="40" spans="1:8" ht="18" customHeight="1" x14ac:dyDescent="0.2">
      <c r="A40" s="2" t="s">
        <v>77</v>
      </c>
      <c r="B40" s="2" t="s">
        <v>105</v>
      </c>
      <c r="C40" s="2" t="s">
        <v>106</v>
      </c>
      <c r="D40" s="2" t="s">
        <v>175</v>
      </c>
      <c r="E40" s="2" t="s">
        <v>107</v>
      </c>
      <c r="F40" s="6" t="s">
        <v>175</v>
      </c>
      <c r="G40" t="s">
        <v>176</v>
      </c>
      <c r="H40" t="str">
        <f t="shared" si="0"/>
        <v>Eyzaguirre 609,San Bernardo,Chile</v>
      </c>
    </row>
    <row r="41" spans="1:8" ht="18" customHeight="1" x14ac:dyDescent="0.2">
      <c r="A41" s="3" t="s">
        <v>77</v>
      </c>
      <c r="B41" s="3" t="s">
        <v>108</v>
      </c>
      <c r="C41" s="3" t="s">
        <v>109</v>
      </c>
      <c r="D41" s="2" t="s">
        <v>175</v>
      </c>
      <c r="E41" s="3" t="s">
        <v>110</v>
      </c>
      <c r="F41" s="6" t="s">
        <v>175</v>
      </c>
      <c r="G41" t="s">
        <v>176</v>
      </c>
      <c r="H41" t="str">
        <f t="shared" si="0"/>
        <v>Calle 21 de Mayo 4430,Puente Alto,Chile</v>
      </c>
    </row>
    <row r="42" spans="1:8" ht="18" customHeight="1" x14ac:dyDescent="0.2">
      <c r="A42" s="2" t="s">
        <v>111</v>
      </c>
      <c r="B42" s="2" t="s">
        <v>112</v>
      </c>
      <c r="C42" s="2" t="s">
        <v>113</v>
      </c>
      <c r="D42" s="2" t="s">
        <v>175</v>
      </c>
      <c r="E42" s="2" t="s">
        <v>114</v>
      </c>
      <c r="F42" s="6" t="s">
        <v>175</v>
      </c>
      <c r="G42" t="s">
        <v>176</v>
      </c>
      <c r="H42" t="str">
        <f t="shared" si="0"/>
        <v>Vicuña Mackenna 98,Rancagua,Chile</v>
      </c>
    </row>
    <row r="43" spans="1:8" ht="18" customHeight="1" x14ac:dyDescent="0.2">
      <c r="A43" s="3" t="s">
        <v>111</v>
      </c>
      <c r="B43" s="3" t="s">
        <v>115</v>
      </c>
      <c r="C43" s="3" t="s">
        <v>116</v>
      </c>
      <c r="D43" s="2" t="s">
        <v>175</v>
      </c>
      <c r="E43" s="3" t="s">
        <v>114</v>
      </c>
      <c r="F43" s="6" t="s">
        <v>175</v>
      </c>
      <c r="G43" t="s">
        <v>176</v>
      </c>
      <c r="H43" t="str">
        <f t="shared" si="0"/>
        <v>Vicuña Mackenna 40,Rancagua,Chile</v>
      </c>
    </row>
    <row r="44" spans="1:8" ht="18" customHeight="1" x14ac:dyDescent="0.2">
      <c r="A44" s="2" t="s">
        <v>111</v>
      </c>
      <c r="B44" s="2" t="s">
        <v>117</v>
      </c>
      <c r="C44" s="2" t="s">
        <v>118</v>
      </c>
      <c r="D44" s="2" t="s">
        <v>175</v>
      </c>
      <c r="E44" s="2" t="s">
        <v>119</v>
      </c>
      <c r="F44" s="6" t="s">
        <v>175</v>
      </c>
      <c r="G44" t="s">
        <v>176</v>
      </c>
      <c r="H44" t="str">
        <f t="shared" si="0"/>
        <v>O'Higgins 646,San Fernando,Chile</v>
      </c>
    </row>
    <row r="45" spans="1:8" ht="18" customHeight="1" x14ac:dyDescent="0.2">
      <c r="A45" s="3" t="s">
        <v>111</v>
      </c>
      <c r="B45" s="3" t="s">
        <v>120</v>
      </c>
      <c r="C45" s="3" t="s">
        <v>121</v>
      </c>
      <c r="D45" s="2" t="s">
        <v>175</v>
      </c>
      <c r="E45" s="3" t="s">
        <v>119</v>
      </c>
      <c r="F45" s="6" t="s">
        <v>175</v>
      </c>
      <c r="G45" t="s">
        <v>176</v>
      </c>
      <c r="H45" t="str">
        <f t="shared" si="0"/>
        <v>Av. O'Higgins 720,San Fernando,Chile</v>
      </c>
    </row>
    <row r="46" spans="1:8" ht="18" customHeight="1" x14ac:dyDescent="0.2">
      <c r="A46" s="2" t="s">
        <v>111</v>
      </c>
      <c r="B46" s="2" t="s">
        <v>122</v>
      </c>
      <c r="C46" s="2" t="s">
        <v>123</v>
      </c>
      <c r="D46" s="2" t="s">
        <v>175</v>
      </c>
      <c r="E46" s="2" t="s">
        <v>124</v>
      </c>
      <c r="F46" s="6" t="s">
        <v>175</v>
      </c>
      <c r="G46" t="s">
        <v>176</v>
      </c>
      <c r="H46" t="str">
        <f t="shared" si="0"/>
        <v>Prat 220,Rengo,Chile</v>
      </c>
    </row>
    <row r="47" spans="1:8" ht="18" customHeight="1" x14ac:dyDescent="0.2">
      <c r="A47" s="3" t="s">
        <v>111</v>
      </c>
      <c r="B47" s="3" t="s">
        <v>125</v>
      </c>
      <c r="C47" s="3" t="s">
        <v>126</v>
      </c>
      <c r="D47" s="2" t="s">
        <v>175</v>
      </c>
      <c r="E47" s="3" t="s">
        <v>124</v>
      </c>
      <c r="F47" s="6" t="s">
        <v>175</v>
      </c>
      <c r="G47" t="s">
        <v>176</v>
      </c>
      <c r="H47" t="str">
        <f t="shared" si="0"/>
        <v>Prat 211,Rengo,Chile</v>
      </c>
    </row>
    <row r="48" spans="1:8" ht="18" customHeight="1" x14ac:dyDescent="0.2">
      <c r="A48" s="2" t="s">
        <v>127</v>
      </c>
      <c r="B48" s="2" t="s">
        <v>128</v>
      </c>
      <c r="C48" s="2" t="s">
        <v>129</v>
      </c>
      <c r="D48" s="2" t="s">
        <v>175</v>
      </c>
      <c r="E48" s="2" t="s">
        <v>130</v>
      </c>
      <c r="F48" s="6" t="s">
        <v>175</v>
      </c>
      <c r="G48" t="s">
        <v>176</v>
      </c>
      <c r="H48" t="str">
        <f t="shared" si="0"/>
        <v>Arturo Prat 2370,San Javier,Chile</v>
      </c>
    </row>
    <row r="49" spans="1:8" ht="18" customHeight="1" x14ac:dyDescent="0.2">
      <c r="A49" s="3" t="s">
        <v>127</v>
      </c>
      <c r="B49" s="3" t="s">
        <v>131</v>
      </c>
      <c r="C49" s="3" t="s">
        <v>132</v>
      </c>
      <c r="D49" s="2" t="s">
        <v>175</v>
      </c>
      <c r="E49" s="3" t="s">
        <v>133</v>
      </c>
      <c r="F49" s="6" t="s">
        <v>175</v>
      </c>
      <c r="G49" t="s">
        <v>176</v>
      </c>
      <c r="H49" t="str">
        <f t="shared" si="0"/>
        <v>Av. Independencia 699,San Carlos,Chile</v>
      </c>
    </row>
    <row r="50" spans="1:8" ht="18" customHeight="1" x14ac:dyDescent="0.2">
      <c r="A50" s="2" t="s">
        <v>127</v>
      </c>
      <c r="B50" s="2" t="s">
        <v>134</v>
      </c>
      <c r="C50" s="2" t="s">
        <v>135</v>
      </c>
      <c r="D50" s="2" t="s">
        <v>175</v>
      </c>
      <c r="E50" s="2" t="s">
        <v>133</v>
      </c>
      <c r="F50" s="6" t="s">
        <v>175</v>
      </c>
      <c r="G50" t="s">
        <v>176</v>
      </c>
      <c r="H50" t="str">
        <f t="shared" si="0"/>
        <v>Serrano 436,San Carlos,Chile</v>
      </c>
    </row>
    <row r="51" spans="1:8" ht="18" customHeight="1" x14ac:dyDescent="0.2">
      <c r="A51" s="3" t="s">
        <v>127</v>
      </c>
      <c r="B51" s="3" t="s">
        <v>136</v>
      </c>
      <c r="C51" s="3" t="s">
        <v>137</v>
      </c>
      <c r="D51" s="2" t="s">
        <v>175</v>
      </c>
      <c r="E51" s="3" t="s">
        <v>138</v>
      </c>
      <c r="F51" s="6" t="s">
        <v>175</v>
      </c>
      <c r="G51" t="s">
        <v>176</v>
      </c>
      <c r="H51" t="str">
        <f t="shared" si="0"/>
        <v>Serrano 395,Talca,Chile</v>
      </c>
    </row>
    <row r="52" spans="1:8" ht="18" customHeight="1" x14ac:dyDescent="0.2">
      <c r="A52" s="2" t="s">
        <v>127</v>
      </c>
      <c r="B52" s="2" t="s">
        <v>139</v>
      </c>
      <c r="C52" s="2" t="s">
        <v>140</v>
      </c>
      <c r="D52" s="2" t="s">
        <v>175</v>
      </c>
      <c r="E52" s="2" t="s">
        <v>138</v>
      </c>
      <c r="F52" s="6" t="s">
        <v>175</v>
      </c>
      <c r="G52" t="s">
        <v>176</v>
      </c>
      <c r="H52" t="str">
        <f t="shared" si="0"/>
        <v>Av. Lautaro 421,Talca,Chile</v>
      </c>
    </row>
    <row r="53" spans="1:8" ht="18" customHeight="1" x14ac:dyDescent="0.2">
      <c r="A53" s="3" t="s">
        <v>141</v>
      </c>
      <c r="B53" s="3" t="s">
        <v>142</v>
      </c>
      <c r="C53" s="3" t="s">
        <v>143</v>
      </c>
      <c r="D53" s="2" t="s">
        <v>175</v>
      </c>
      <c r="E53" s="3" t="s">
        <v>144</v>
      </c>
      <c r="F53" s="6" t="s">
        <v>175</v>
      </c>
      <c r="G53" t="s">
        <v>176</v>
      </c>
      <c r="H53" t="str">
        <f t="shared" si="0"/>
        <v>Barros Arana 586,Concepción,Chile</v>
      </c>
    </row>
    <row r="54" spans="1:8" ht="18" customHeight="1" x14ac:dyDescent="0.2">
      <c r="A54" s="2" t="s">
        <v>141</v>
      </c>
      <c r="B54" s="2" t="s">
        <v>145</v>
      </c>
      <c r="C54" s="2" t="s">
        <v>146</v>
      </c>
      <c r="D54" s="2" t="s">
        <v>175</v>
      </c>
      <c r="E54" s="2" t="s">
        <v>144</v>
      </c>
      <c r="F54" s="6" t="s">
        <v>175</v>
      </c>
      <c r="G54" t="s">
        <v>176</v>
      </c>
      <c r="H54" t="str">
        <f t="shared" si="0"/>
        <v>Av. Bulnes 498,Concepción,Chile</v>
      </c>
    </row>
    <row r="55" spans="1:8" ht="18" customHeight="1" x14ac:dyDescent="0.2">
      <c r="A55" s="3" t="s">
        <v>141</v>
      </c>
      <c r="B55" s="3" t="s">
        <v>147</v>
      </c>
      <c r="C55" s="3" t="s">
        <v>148</v>
      </c>
      <c r="D55" s="2" t="s">
        <v>175</v>
      </c>
      <c r="E55" s="3" t="s">
        <v>144</v>
      </c>
      <c r="F55" s="6" t="s">
        <v>175</v>
      </c>
      <c r="G55" t="s">
        <v>176</v>
      </c>
      <c r="H55" t="str">
        <f t="shared" si="0"/>
        <v>Las Quirlas 1605,Concepción,Chile</v>
      </c>
    </row>
    <row r="56" spans="1:8" ht="18" customHeight="1" x14ac:dyDescent="0.2">
      <c r="A56" s="2" t="s">
        <v>141</v>
      </c>
      <c r="B56" s="2" t="s">
        <v>149</v>
      </c>
      <c r="C56" s="2" t="s">
        <v>150</v>
      </c>
      <c r="D56" s="2" t="s">
        <v>175</v>
      </c>
      <c r="E56" s="2" t="s">
        <v>151</v>
      </c>
      <c r="F56" s="6" t="s">
        <v>175</v>
      </c>
      <c r="G56" t="s">
        <v>176</v>
      </c>
      <c r="H56" t="str">
        <f t="shared" si="0"/>
        <v>Manuel Montt 628,Chillán,Chile</v>
      </c>
    </row>
    <row r="57" spans="1:8" ht="18" customHeight="1" x14ac:dyDescent="0.2">
      <c r="A57" s="3" t="s">
        <v>141</v>
      </c>
      <c r="B57" s="3" t="s">
        <v>152</v>
      </c>
      <c r="C57" s="3" t="s">
        <v>153</v>
      </c>
      <c r="D57" s="2" t="s">
        <v>175</v>
      </c>
      <c r="E57" s="3" t="s">
        <v>154</v>
      </c>
      <c r="F57" s="6" t="s">
        <v>175</v>
      </c>
      <c r="G57" t="s">
        <v>176</v>
      </c>
      <c r="H57" t="str">
        <f t="shared" si="0"/>
        <v>Balmaceda 86,Los Ángeles,Chile</v>
      </c>
    </row>
    <row r="58" spans="1:8" ht="18" customHeight="1" x14ac:dyDescent="0.2">
      <c r="A58" s="2" t="s">
        <v>141</v>
      </c>
      <c r="B58" s="2" t="s">
        <v>155</v>
      </c>
      <c r="C58" s="2" t="s">
        <v>156</v>
      </c>
      <c r="D58" s="2" t="s">
        <v>175</v>
      </c>
      <c r="E58" s="2" t="s">
        <v>154</v>
      </c>
      <c r="F58" s="6" t="s">
        <v>175</v>
      </c>
      <c r="G58" t="s">
        <v>176</v>
      </c>
      <c r="H58" t="str">
        <f t="shared" si="0"/>
        <v>Balmaceda 110,Los Ángeles,Chile</v>
      </c>
    </row>
    <row r="59" spans="1:8" ht="18" customHeight="1" x14ac:dyDescent="0.2">
      <c r="A59" s="3" t="s">
        <v>157</v>
      </c>
      <c r="B59" s="3" t="s">
        <v>158</v>
      </c>
      <c r="C59" s="3" t="s">
        <v>159</v>
      </c>
      <c r="D59" s="2" t="s">
        <v>175</v>
      </c>
      <c r="E59" s="3" t="s">
        <v>160</v>
      </c>
      <c r="F59" s="6" t="s">
        <v>175</v>
      </c>
      <c r="G59" t="s">
        <v>176</v>
      </c>
      <c r="H59" t="str">
        <f t="shared" si="0"/>
        <v>Manuel Rodríguez 1055,Temuco,Chile</v>
      </c>
    </row>
    <row r="60" spans="1:8" ht="18" customHeight="1" x14ac:dyDescent="0.2">
      <c r="A60" s="2" t="s">
        <v>157</v>
      </c>
      <c r="B60" s="2" t="s">
        <v>161</v>
      </c>
      <c r="C60" s="2" t="s">
        <v>162</v>
      </c>
      <c r="D60" s="2" t="s">
        <v>175</v>
      </c>
      <c r="E60" s="2" t="s">
        <v>163</v>
      </c>
      <c r="F60" s="6" t="s">
        <v>175</v>
      </c>
      <c r="G60" t="s">
        <v>176</v>
      </c>
      <c r="H60" t="str">
        <f t="shared" si="0"/>
        <v>Pedro de Valdivia 845,Villarrica,Chile</v>
      </c>
    </row>
    <row r="61" spans="1:8" ht="18" customHeight="1" x14ac:dyDescent="0.2">
      <c r="A61" s="3" t="s">
        <v>164</v>
      </c>
      <c r="B61" s="3" t="s">
        <v>165</v>
      </c>
      <c r="C61" s="3" t="s">
        <v>166</v>
      </c>
      <c r="D61" s="2" t="s">
        <v>175</v>
      </c>
      <c r="E61" s="3" t="s">
        <v>167</v>
      </c>
      <c r="F61" s="6" t="s">
        <v>175</v>
      </c>
      <c r="G61" t="s">
        <v>176</v>
      </c>
      <c r="H61" t="str">
        <f t="shared" si="0"/>
        <v>Independencia 539,Valdivia,Chile</v>
      </c>
    </row>
    <row r="62" spans="1:8" ht="18" customHeight="1" x14ac:dyDescent="0.2">
      <c r="A62" s="2" t="s">
        <v>168</v>
      </c>
      <c r="B62" s="2" t="s">
        <v>169</v>
      </c>
      <c r="C62" s="2" t="s">
        <v>170</v>
      </c>
      <c r="D62" s="2" t="s">
        <v>175</v>
      </c>
      <c r="E62" s="2" t="s">
        <v>171</v>
      </c>
      <c r="F62" s="6" t="s">
        <v>175</v>
      </c>
      <c r="G62" t="s">
        <v>176</v>
      </c>
      <c r="H62" t="str">
        <f t="shared" si="0"/>
        <v>Benavente 1075, Local 1510,Puerto Montt,Chile</v>
      </c>
    </row>
    <row r="63" spans="1:8" ht="18" customHeight="1" x14ac:dyDescent="0.2">
      <c r="A63" s="3" t="s">
        <v>168</v>
      </c>
      <c r="B63" s="3" t="s">
        <v>172</v>
      </c>
      <c r="C63" s="3" t="s">
        <v>153</v>
      </c>
      <c r="D63" s="2" t="s">
        <v>175</v>
      </c>
      <c r="E63" s="3" t="s">
        <v>171</v>
      </c>
      <c r="F63" s="6" t="s">
        <v>175</v>
      </c>
      <c r="G63" t="s">
        <v>176</v>
      </c>
      <c r="H63" t="str">
        <f t="shared" si="0"/>
        <v>Balmaceda 86,Puerto Montt,Chile</v>
      </c>
    </row>
    <row r="64" spans="1:8" x14ac:dyDescent="0.2">
      <c r="A64" s="7" t="s">
        <v>173</v>
      </c>
      <c r="B64" s="8"/>
      <c r="C64" s="8"/>
      <c r="E64" s="4">
        <f>COUNTA(E2:E63)</f>
        <v>62</v>
      </c>
      <c r="F64" s="4"/>
    </row>
  </sheetData>
  <mergeCells count="1"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 Tiendas Tricot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2026-04-10T16:10:06Z</dcterms:created>
  <dcterms:modified xsi:type="dcterms:W3CDTF">2026-04-10T17:36:06Z</dcterms:modified>
</cp:coreProperties>
</file>